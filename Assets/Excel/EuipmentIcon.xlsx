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E07B36F8-E6B7-49E0-A376-1BE81D222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1" l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G6" i="1"/>
  <c r="G7" i="1"/>
  <c r="G8" i="1" s="1"/>
  <c r="G9" i="1" s="1"/>
  <c r="G10" i="1" s="1"/>
  <c r="G11" i="1" s="1"/>
  <c r="G12" i="1" s="1"/>
  <c r="G13" i="1" s="1"/>
  <c r="G14" i="1" s="1"/>
  <c r="G15" i="1" s="1"/>
  <c r="G5" i="1"/>
  <c r="F5" i="1"/>
  <c r="F6" i="1"/>
  <c r="F7" i="1"/>
  <c r="F8" i="1"/>
  <c r="F9" i="1"/>
  <c r="F10" i="1"/>
  <c r="F11" i="1"/>
  <c r="F12" i="1"/>
  <c r="F13" i="1"/>
  <c r="F14" i="1"/>
  <c r="F15" i="1"/>
  <c r="F4" i="1"/>
  <c r="E5" i="1"/>
  <c r="E6" i="1"/>
  <c r="E7" i="1"/>
  <c r="E8" i="1"/>
  <c r="E9" i="1"/>
  <c r="E10" i="1"/>
  <c r="E11" i="1"/>
  <c r="E12" i="1"/>
  <c r="E13" i="1"/>
  <c r="E14" i="1"/>
  <c r="E15" i="1"/>
  <c r="E4" i="1"/>
</calcChain>
</file>

<file path=xl/sharedStrings.xml><?xml version="1.0" encoding="utf-8"?>
<sst xmlns="http://schemas.openxmlformats.org/spreadsheetml/2006/main" count="106" uniqueCount="72">
  <si>
    <t>Int</t>
    <phoneticPr fontId="2" type="noConversion"/>
  </si>
  <si>
    <t>Slot</t>
    <phoneticPr fontId="2" type="noConversion"/>
  </si>
  <si>
    <t>装备槽位</t>
    <phoneticPr fontId="2" type="noConversion"/>
  </si>
  <si>
    <t>等级区间1</t>
    <phoneticPr fontId="2" type="noConversion"/>
  </si>
  <si>
    <t>等级区间2</t>
  </si>
  <si>
    <t>等级区间3</t>
  </si>
  <si>
    <t>等级区间4</t>
  </si>
  <si>
    <t>等级区间5</t>
  </si>
  <si>
    <t>等级区间6</t>
  </si>
  <si>
    <t>等级区间7</t>
  </si>
  <si>
    <t>等级区间8</t>
  </si>
  <si>
    <t>String</t>
  </si>
  <si>
    <t>道具名称1</t>
    <phoneticPr fontId="2" type="noConversion"/>
  </si>
  <si>
    <t>道具图标1</t>
    <phoneticPr fontId="2" type="noConversion"/>
  </si>
  <si>
    <t>ItemIcon1</t>
    <phoneticPr fontId="2" type="noConversion"/>
  </si>
  <si>
    <t>ItemName1</t>
    <phoneticPr fontId="2" type="noConversion"/>
  </si>
  <si>
    <t>LevelLimit1</t>
    <phoneticPr fontId="2" type="noConversion"/>
  </si>
  <si>
    <t>道具名称2</t>
  </si>
  <si>
    <t>道具图标2</t>
  </si>
  <si>
    <t>道具名称3</t>
  </si>
  <si>
    <t>道具图标3</t>
  </si>
  <si>
    <t>道具名称4</t>
  </si>
  <si>
    <t>道具图标4</t>
  </si>
  <si>
    <t>道具名称5</t>
  </si>
  <si>
    <t>道具图标5</t>
  </si>
  <si>
    <t>道具名称6</t>
  </si>
  <si>
    <t>道具图标6</t>
  </si>
  <si>
    <t>道具名称7</t>
  </si>
  <si>
    <t>道具图标7</t>
  </si>
  <si>
    <t>道具名称8</t>
  </si>
  <si>
    <t>道具图标8</t>
  </si>
  <si>
    <t>LevelLimit2</t>
  </si>
  <si>
    <t>ItemName2</t>
  </si>
  <si>
    <t>ItemIcon2</t>
  </si>
  <si>
    <t>LevelLimit3</t>
  </si>
  <si>
    <t>ItemName3</t>
  </si>
  <si>
    <t>ItemIcon3</t>
  </si>
  <si>
    <t>LevelLimit4</t>
  </si>
  <si>
    <t>ItemName4</t>
  </si>
  <si>
    <t>ItemIcon4</t>
  </si>
  <si>
    <t>LevelLimit5</t>
  </si>
  <si>
    <t>ItemName5</t>
  </si>
  <si>
    <t>ItemIcon5</t>
  </si>
  <si>
    <t>LevelLimit6</t>
  </si>
  <si>
    <t>ItemName6</t>
  </si>
  <si>
    <t>ItemIcon6</t>
  </si>
  <si>
    <t>LevelLimit7</t>
  </si>
  <si>
    <t>ItemName7</t>
  </si>
  <si>
    <t>ItemIcon7</t>
  </si>
  <si>
    <t>LevelLimit8</t>
  </si>
  <si>
    <t>ItemName8</t>
  </si>
  <si>
    <t>ItemIcon8</t>
  </si>
  <si>
    <t>Equip1001</t>
  </si>
  <si>
    <t>Equip1002</t>
  </si>
  <si>
    <t>Equip1003</t>
  </si>
  <si>
    <t>Equip1004</t>
  </si>
  <si>
    <t>Equip1005</t>
  </si>
  <si>
    <t>Equip1006</t>
  </si>
  <si>
    <t>Equip1007</t>
  </si>
  <si>
    <t>Equip1008</t>
  </si>
  <si>
    <t>槽位1</t>
    <phoneticPr fontId="2" type="noConversion"/>
  </si>
  <si>
    <t>槽位2</t>
  </si>
  <si>
    <t>槽位3</t>
  </si>
  <si>
    <t>槽位4</t>
  </si>
  <si>
    <t>槽位5</t>
  </si>
  <si>
    <t>槽位6</t>
  </si>
  <si>
    <t>槽位7</t>
  </si>
  <si>
    <t>槽位8</t>
  </si>
  <si>
    <t>槽位9</t>
  </si>
  <si>
    <t>槽位10</t>
  </si>
  <si>
    <t>槽位11</t>
  </si>
  <si>
    <t>槽位12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</si>
</sst>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workbookViewId="0">
      <selection activeCell="I19" sqref="I19"/>
    </sheetView>
  </sheetViews>
  <sheetFormatPr defaultRowHeight="14.25" x14ac:dyDescent="0.2"/>
  <cols>
    <col min="1" max="1" width="10.875" style="2" customWidth="1"/>
    <col min="2" max="2" width="13.875" style="2" customWidth="1"/>
    <col min="3" max="3" width="12.5" style="2" customWidth="1"/>
    <col min="4" max="4" width="11.5" style="2" customWidth="1"/>
    <col min="5" max="5" width="10.5" style="2" bestFit="1" customWidth="1"/>
    <col min="6" max="6" width="11.375" style="2" bestFit="1" customWidth="1"/>
    <col min="7" max="7" width="10.125" style="2" bestFit="1" customWidth="1"/>
    <col min="8" max="8" width="10.5" style="2" bestFit="1" customWidth="1"/>
    <col min="9" max="9" width="11.375" style="2" bestFit="1" customWidth="1"/>
    <col min="10" max="10" width="10.125" style="2" bestFit="1" customWidth="1"/>
    <col min="11" max="11" width="10.5" style="2" bestFit="1" customWidth="1"/>
    <col min="12" max="12" width="11.375" style="2" bestFit="1" customWidth="1"/>
    <col min="13" max="13" width="10.125" style="2" bestFit="1" customWidth="1"/>
    <col min="14" max="14" width="10.5" style="2" bestFit="1" customWidth="1"/>
    <col min="15" max="15" width="11.375" style="2" bestFit="1" customWidth="1"/>
    <col min="16" max="16" width="10.125" style="2" bestFit="1" customWidth="1"/>
    <col min="17" max="17" width="10.5" style="2" bestFit="1" customWidth="1"/>
    <col min="18" max="18" width="11.375" style="2" bestFit="1" customWidth="1"/>
    <col min="19" max="19" width="10.125" style="2" bestFit="1" customWidth="1"/>
    <col min="20" max="20" width="10.5" style="2" bestFit="1" customWidth="1"/>
    <col min="21" max="21" width="11.375" style="2" bestFit="1" customWidth="1"/>
    <col min="22" max="22" width="10.125" style="2" bestFit="1" customWidth="1"/>
    <col min="23" max="23" width="10.5" style="2" bestFit="1" customWidth="1"/>
    <col min="24" max="24" width="11.375" style="2" bestFit="1" customWidth="1"/>
    <col min="25" max="25" width="10.125" style="2" bestFit="1" customWidth="1"/>
    <col min="26" max="16384" width="9" style="2"/>
  </cols>
  <sheetData>
    <row r="1" spans="1:25" x14ac:dyDescent="0.2">
      <c r="A1" s="1" t="s">
        <v>2</v>
      </c>
      <c r="B1" s="1" t="s">
        <v>3</v>
      </c>
      <c r="C1" s="1" t="s">
        <v>12</v>
      </c>
      <c r="D1" s="1" t="s">
        <v>13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19</v>
      </c>
      <c r="J1" s="1" t="s">
        <v>20</v>
      </c>
      <c r="K1" s="1" t="s">
        <v>6</v>
      </c>
      <c r="L1" s="1" t="s">
        <v>21</v>
      </c>
      <c r="M1" s="1" t="s">
        <v>22</v>
      </c>
      <c r="N1" s="1" t="s">
        <v>7</v>
      </c>
      <c r="O1" s="1" t="s">
        <v>23</v>
      </c>
      <c r="P1" s="1" t="s">
        <v>24</v>
      </c>
      <c r="Q1" s="1" t="s">
        <v>8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10</v>
      </c>
      <c r="X1" s="1" t="s">
        <v>29</v>
      </c>
      <c r="Y1" s="1" t="s">
        <v>30</v>
      </c>
    </row>
    <row r="2" spans="1:25" x14ac:dyDescent="0.2">
      <c r="A2" s="2" t="s">
        <v>0</v>
      </c>
      <c r="B2" s="2" t="s">
        <v>0</v>
      </c>
      <c r="C2" s="2" t="s">
        <v>11</v>
      </c>
      <c r="D2" s="2" t="s">
        <v>11</v>
      </c>
      <c r="E2" s="2" t="s">
        <v>0</v>
      </c>
      <c r="F2" s="2" t="s">
        <v>11</v>
      </c>
      <c r="G2" s="2" t="s">
        <v>11</v>
      </c>
      <c r="H2" s="2" t="s">
        <v>0</v>
      </c>
      <c r="I2" s="2" t="s">
        <v>11</v>
      </c>
      <c r="J2" s="2" t="s">
        <v>11</v>
      </c>
      <c r="K2" s="2" t="s">
        <v>0</v>
      </c>
      <c r="L2" s="2" t="s">
        <v>11</v>
      </c>
      <c r="M2" s="2" t="s">
        <v>11</v>
      </c>
      <c r="N2" s="2" t="s">
        <v>0</v>
      </c>
      <c r="O2" s="2" t="s">
        <v>11</v>
      </c>
      <c r="P2" s="2" t="s">
        <v>11</v>
      </c>
      <c r="Q2" s="2" t="s">
        <v>0</v>
      </c>
      <c r="R2" s="2" t="s">
        <v>11</v>
      </c>
      <c r="S2" s="2" t="s">
        <v>11</v>
      </c>
      <c r="T2" s="2" t="s">
        <v>0</v>
      </c>
      <c r="U2" s="2" t="s">
        <v>11</v>
      </c>
      <c r="V2" s="2" t="s">
        <v>11</v>
      </c>
      <c r="W2" s="2" t="s">
        <v>0</v>
      </c>
      <c r="X2" s="2" t="s">
        <v>11</v>
      </c>
      <c r="Y2" s="2" t="s">
        <v>11</v>
      </c>
    </row>
    <row r="3" spans="1:25" x14ac:dyDescent="0.2">
      <c r="A3" s="2" t="s">
        <v>1</v>
      </c>
      <c r="B3" s="2" t="s">
        <v>16</v>
      </c>
      <c r="C3" s="2" t="s">
        <v>15</v>
      </c>
      <c r="D3" s="2" t="s">
        <v>14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" t="s">
        <v>46</v>
      </c>
      <c r="U3" s="2" t="s">
        <v>47</v>
      </c>
      <c r="V3" s="2" t="s">
        <v>48</v>
      </c>
      <c r="W3" s="2" t="s">
        <v>49</v>
      </c>
      <c r="X3" s="2" t="s">
        <v>50</v>
      </c>
      <c r="Y3" s="2" t="s">
        <v>51</v>
      </c>
    </row>
    <row r="4" spans="1:25" x14ac:dyDescent="0.2">
      <c r="A4" s="2">
        <v>1</v>
      </c>
      <c r="B4" s="2">
        <v>9</v>
      </c>
      <c r="C4" s="2" t="s">
        <v>60</v>
      </c>
      <c r="D4" s="2" t="s">
        <v>52</v>
      </c>
      <c r="E4" s="2">
        <f>B4+10</f>
        <v>19</v>
      </c>
      <c r="F4" s="2" t="str">
        <f>C4</f>
        <v>槽位1</v>
      </c>
      <c r="G4" s="2" t="s">
        <v>53</v>
      </c>
      <c r="H4" s="2">
        <f>E4+10</f>
        <v>29</v>
      </c>
      <c r="I4" s="2" t="str">
        <f>F4</f>
        <v>槽位1</v>
      </c>
      <c r="J4" s="2" t="s">
        <v>54</v>
      </c>
      <c r="K4" s="2">
        <f>H4+10</f>
        <v>39</v>
      </c>
      <c r="L4" s="2" t="str">
        <f>I4</f>
        <v>槽位1</v>
      </c>
      <c r="M4" s="2" t="s">
        <v>55</v>
      </c>
      <c r="N4" s="2">
        <f>K4+10</f>
        <v>49</v>
      </c>
      <c r="O4" s="2" t="str">
        <f>L4</f>
        <v>槽位1</v>
      </c>
      <c r="P4" s="2" t="s">
        <v>56</v>
      </c>
      <c r="Q4" s="2">
        <f>N4+10</f>
        <v>59</v>
      </c>
      <c r="R4" s="2" t="str">
        <f>O4</f>
        <v>槽位1</v>
      </c>
      <c r="S4" s="2" t="s">
        <v>57</v>
      </c>
      <c r="T4" s="2">
        <f>Q4+10</f>
        <v>69</v>
      </c>
      <c r="U4" s="2" t="str">
        <f>R4</f>
        <v>槽位1</v>
      </c>
      <c r="V4" s="2" t="s">
        <v>58</v>
      </c>
      <c r="W4" s="2">
        <f>T4+10</f>
        <v>79</v>
      </c>
      <c r="X4" s="2" t="str">
        <f>U4</f>
        <v>槽位1</v>
      </c>
      <c r="Y4" s="2" t="s">
        <v>59</v>
      </c>
    </row>
    <row r="5" spans="1:25" x14ac:dyDescent="0.2">
      <c r="A5" s="2">
        <v>2</v>
      </c>
      <c r="B5" s="2">
        <v>9</v>
      </c>
      <c r="C5" s="2" t="s">
        <v>61</v>
      </c>
      <c r="D5" s="2" t="s">
        <v>52</v>
      </c>
      <c r="E5" s="2">
        <f t="shared" ref="E5:E15" si="0">B5+10</f>
        <v>19</v>
      </c>
      <c r="F5" s="2" t="str">
        <f t="shared" ref="F5:F15" si="1">C5</f>
        <v>槽位2</v>
      </c>
      <c r="G5" s="2" t="str">
        <f>G4</f>
        <v>Equip1002</v>
      </c>
      <c r="H5" s="2">
        <f t="shared" ref="H5:H15" si="2">E5+10</f>
        <v>29</v>
      </c>
      <c r="I5" s="2" t="str">
        <f t="shared" ref="I5:I15" si="3">F5</f>
        <v>槽位2</v>
      </c>
      <c r="J5" s="2" t="str">
        <f>J4</f>
        <v>Equip1003</v>
      </c>
      <c r="K5" s="2">
        <f t="shared" ref="K5:K15" si="4">H5+10</f>
        <v>39</v>
      </c>
      <c r="L5" s="2" t="str">
        <f t="shared" ref="L5:L15" si="5">I5</f>
        <v>槽位2</v>
      </c>
      <c r="M5" s="2" t="str">
        <f>M4</f>
        <v>Equip1004</v>
      </c>
      <c r="N5" s="2">
        <f t="shared" ref="N5:N15" si="6">K5+10</f>
        <v>49</v>
      </c>
      <c r="O5" s="2" t="str">
        <f t="shared" ref="O5:O15" si="7">L5</f>
        <v>槽位2</v>
      </c>
      <c r="P5" s="2" t="str">
        <f>P4</f>
        <v>Equip1005</v>
      </c>
      <c r="Q5" s="2">
        <f t="shared" ref="Q5:Q15" si="8">N5+10</f>
        <v>59</v>
      </c>
      <c r="R5" s="2" t="str">
        <f t="shared" ref="R5:R15" si="9">O5</f>
        <v>槽位2</v>
      </c>
      <c r="S5" s="2" t="str">
        <f>S4</f>
        <v>Equip1006</v>
      </c>
      <c r="T5" s="2">
        <f t="shared" ref="T5:T15" si="10">Q5+10</f>
        <v>69</v>
      </c>
      <c r="U5" s="2" t="str">
        <f t="shared" ref="U5:U15" si="11">R5</f>
        <v>槽位2</v>
      </c>
      <c r="V5" s="2" t="str">
        <f>V4</f>
        <v>Equip1007</v>
      </c>
      <c r="W5" s="2">
        <f t="shared" ref="W5:W15" si="12">T5+10</f>
        <v>79</v>
      </c>
      <c r="X5" s="2" t="str">
        <f t="shared" ref="X5:X15" si="13">U5</f>
        <v>槽位2</v>
      </c>
      <c r="Y5" s="2" t="str">
        <f>Y4</f>
        <v>Equip1008</v>
      </c>
    </row>
    <row r="6" spans="1:25" x14ac:dyDescent="0.2">
      <c r="A6" s="2">
        <v>3</v>
      </c>
      <c r="B6" s="2">
        <v>9</v>
      </c>
      <c r="C6" s="2" t="s">
        <v>62</v>
      </c>
      <c r="D6" s="2" t="s">
        <v>52</v>
      </c>
      <c r="E6" s="2">
        <f t="shared" si="0"/>
        <v>19</v>
      </c>
      <c r="F6" s="2" t="str">
        <f t="shared" si="1"/>
        <v>槽位3</v>
      </c>
      <c r="G6" s="2" t="str">
        <f t="shared" ref="G6:G15" si="14">G5</f>
        <v>Equip1002</v>
      </c>
      <c r="H6" s="2">
        <f t="shared" si="2"/>
        <v>29</v>
      </c>
      <c r="I6" s="2" t="str">
        <f t="shared" si="3"/>
        <v>槽位3</v>
      </c>
      <c r="J6" s="2" t="str">
        <f t="shared" ref="J6:J15" si="15">J5</f>
        <v>Equip1003</v>
      </c>
      <c r="K6" s="2">
        <f t="shared" si="4"/>
        <v>39</v>
      </c>
      <c r="L6" s="2" t="str">
        <f t="shared" si="5"/>
        <v>槽位3</v>
      </c>
      <c r="M6" s="2" t="str">
        <f t="shared" ref="M6:M15" si="16">M5</f>
        <v>Equip1004</v>
      </c>
      <c r="N6" s="2">
        <f t="shared" si="6"/>
        <v>49</v>
      </c>
      <c r="O6" s="2" t="str">
        <f t="shared" si="7"/>
        <v>槽位3</v>
      </c>
      <c r="P6" s="2" t="str">
        <f t="shared" ref="P6:P15" si="17">P5</f>
        <v>Equip1005</v>
      </c>
      <c r="Q6" s="2">
        <f t="shared" si="8"/>
        <v>59</v>
      </c>
      <c r="R6" s="2" t="str">
        <f t="shared" si="9"/>
        <v>槽位3</v>
      </c>
      <c r="S6" s="2" t="str">
        <f t="shared" ref="S6:S15" si="18">S5</f>
        <v>Equip1006</v>
      </c>
      <c r="T6" s="2">
        <f t="shared" si="10"/>
        <v>69</v>
      </c>
      <c r="U6" s="2" t="str">
        <f t="shared" si="11"/>
        <v>槽位3</v>
      </c>
      <c r="V6" s="2" t="str">
        <f t="shared" ref="V6:V15" si="19">V5</f>
        <v>Equip1007</v>
      </c>
      <c r="W6" s="2">
        <f t="shared" si="12"/>
        <v>79</v>
      </c>
      <c r="X6" s="2" t="str">
        <f t="shared" si="13"/>
        <v>槽位3</v>
      </c>
      <c r="Y6" s="2" t="str">
        <f t="shared" ref="Y6:Y15" si="20">Y5</f>
        <v>Equip1008</v>
      </c>
    </row>
    <row r="7" spans="1:25" x14ac:dyDescent="0.2">
      <c r="A7" s="2">
        <v>4</v>
      </c>
      <c r="B7" s="2">
        <v>9</v>
      </c>
      <c r="C7" s="2" t="s">
        <v>63</v>
      </c>
      <c r="D7" s="2" t="s">
        <v>52</v>
      </c>
      <c r="E7" s="2">
        <f t="shared" si="0"/>
        <v>19</v>
      </c>
      <c r="F7" s="2" t="str">
        <f t="shared" si="1"/>
        <v>槽位4</v>
      </c>
      <c r="G7" s="2" t="str">
        <f t="shared" si="14"/>
        <v>Equip1002</v>
      </c>
      <c r="H7" s="2">
        <f t="shared" si="2"/>
        <v>29</v>
      </c>
      <c r="I7" s="2" t="str">
        <f t="shared" si="3"/>
        <v>槽位4</v>
      </c>
      <c r="J7" s="2" t="str">
        <f t="shared" si="15"/>
        <v>Equip1003</v>
      </c>
      <c r="K7" s="2">
        <f t="shared" si="4"/>
        <v>39</v>
      </c>
      <c r="L7" s="2" t="str">
        <f t="shared" si="5"/>
        <v>槽位4</v>
      </c>
      <c r="M7" s="2" t="str">
        <f t="shared" si="16"/>
        <v>Equip1004</v>
      </c>
      <c r="N7" s="2">
        <f t="shared" si="6"/>
        <v>49</v>
      </c>
      <c r="O7" s="2" t="str">
        <f t="shared" si="7"/>
        <v>槽位4</v>
      </c>
      <c r="P7" s="2" t="str">
        <f t="shared" si="17"/>
        <v>Equip1005</v>
      </c>
      <c r="Q7" s="2">
        <f t="shared" si="8"/>
        <v>59</v>
      </c>
      <c r="R7" s="2" t="str">
        <f t="shared" si="9"/>
        <v>槽位4</v>
      </c>
      <c r="S7" s="2" t="str">
        <f t="shared" si="18"/>
        <v>Equip1006</v>
      </c>
      <c r="T7" s="2">
        <f t="shared" si="10"/>
        <v>69</v>
      </c>
      <c r="U7" s="2" t="str">
        <f t="shared" si="11"/>
        <v>槽位4</v>
      </c>
      <c r="V7" s="2" t="str">
        <f t="shared" si="19"/>
        <v>Equip1007</v>
      </c>
      <c r="W7" s="2">
        <f t="shared" si="12"/>
        <v>79</v>
      </c>
      <c r="X7" s="2" t="str">
        <f t="shared" si="13"/>
        <v>槽位4</v>
      </c>
      <c r="Y7" s="2" t="str">
        <f t="shared" si="20"/>
        <v>Equip1008</v>
      </c>
    </row>
    <row r="8" spans="1:25" x14ac:dyDescent="0.2">
      <c r="A8" s="2">
        <v>5</v>
      </c>
      <c r="B8" s="2">
        <v>9</v>
      </c>
      <c r="C8" s="2" t="s">
        <v>64</v>
      </c>
      <c r="D8" s="2" t="s">
        <v>52</v>
      </c>
      <c r="E8" s="2">
        <f t="shared" si="0"/>
        <v>19</v>
      </c>
      <c r="F8" s="2" t="str">
        <f t="shared" si="1"/>
        <v>槽位5</v>
      </c>
      <c r="G8" s="2" t="str">
        <f t="shared" si="14"/>
        <v>Equip1002</v>
      </c>
      <c r="H8" s="2">
        <f t="shared" si="2"/>
        <v>29</v>
      </c>
      <c r="I8" s="2" t="str">
        <f t="shared" si="3"/>
        <v>槽位5</v>
      </c>
      <c r="J8" s="2" t="str">
        <f t="shared" si="15"/>
        <v>Equip1003</v>
      </c>
      <c r="K8" s="2">
        <f t="shared" si="4"/>
        <v>39</v>
      </c>
      <c r="L8" s="2" t="str">
        <f t="shared" si="5"/>
        <v>槽位5</v>
      </c>
      <c r="M8" s="2" t="str">
        <f t="shared" si="16"/>
        <v>Equip1004</v>
      </c>
      <c r="N8" s="2">
        <f t="shared" si="6"/>
        <v>49</v>
      </c>
      <c r="O8" s="2" t="str">
        <f t="shared" si="7"/>
        <v>槽位5</v>
      </c>
      <c r="P8" s="2" t="str">
        <f t="shared" si="17"/>
        <v>Equip1005</v>
      </c>
      <c r="Q8" s="2">
        <f t="shared" si="8"/>
        <v>59</v>
      </c>
      <c r="R8" s="2" t="str">
        <f t="shared" si="9"/>
        <v>槽位5</v>
      </c>
      <c r="S8" s="2" t="str">
        <f t="shared" si="18"/>
        <v>Equip1006</v>
      </c>
      <c r="T8" s="2">
        <f t="shared" si="10"/>
        <v>69</v>
      </c>
      <c r="U8" s="2" t="str">
        <f t="shared" si="11"/>
        <v>槽位5</v>
      </c>
      <c r="V8" s="2" t="str">
        <f t="shared" si="19"/>
        <v>Equip1007</v>
      </c>
      <c r="W8" s="2">
        <f t="shared" si="12"/>
        <v>79</v>
      </c>
      <c r="X8" s="2" t="str">
        <f t="shared" si="13"/>
        <v>槽位5</v>
      </c>
      <c r="Y8" s="2" t="str">
        <f t="shared" si="20"/>
        <v>Equip1008</v>
      </c>
    </row>
    <row r="9" spans="1:25" x14ac:dyDescent="0.2">
      <c r="A9" s="2">
        <v>6</v>
      </c>
      <c r="B9" s="2">
        <v>9</v>
      </c>
      <c r="C9" s="2" t="s">
        <v>65</v>
      </c>
      <c r="D9" s="2" t="s">
        <v>52</v>
      </c>
      <c r="E9" s="2">
        <f t="shared" si="0"/>
        <v>19</v>
      </c>
      <c r="F9" s="2" t="str">
        <f t="shared" si="1"/>
        <v>槽位6</v>
      </c>
      <c r="G9" s="2" t="str">
        <f t="shared" si="14"/>
        <v>Equip1002</v>
      </c>
      <c r="H9" s="2">
        <f t="shared" si="2"/>
        <v>29</v>
      </c>
      <c r="I9" s="2" t="str">
        <f t="shared" si="3"/>
        <v>槽位6</v>
      </c>
      <c r="J9" s="2" t="str">
        <f t="shared" si="15"/>
        <v>Equip1003</v>
      </c>
      <c r="K9" s="2">
        <f t="shared" si="4"/>
        <v>39</v>
      </c>
      <c r="L9" s="2" t="str">
        <f t="shared" si="5"/>
        <v>槽位6</v>
      </c>
      <c r="M9" s="2" t="str">
        <f t="shared" si="16"/>
        <v>Equip1004</v>
      </c>
      <c r="N9" s="2">
        <f t="shared" si="6"/>
        <v>49</v>
      </c>
      <c r="O9" s="2" t="str">
        <f t="shared" si="7"/>
        <v>槽位6</v>
      </c>
      <c r="P9" s="2" t="str">
        <f t="shared" si="17"/>
        <v>Equip1005</v>
      </c>
      <c r="Q9" s="2">
        <f t="shared" si="8"/>
        <v>59</v>
      </c>
      <c r="R9" s="2" t="str">
        <f t="shared" si="9"/>
        <v>槽位6</v>
      </c>
      <c r="S9" s="2" t="str">
        <f t="shared" si="18"/>
        <v>Equip1006</v>
      </c>
      <c r="T9" s="2">
        <f t="shared" si="10"/>
        <v>69</v>
      </c>
      <c r="U9" s="2" t="str">
        <f t="shared" si="11"/>
        <v>槽位6</v>
      </c>
      <c r="V9" s="2" t="str">
        <f t="shared" si="19"/>
        <v>Equip1007</v>
      </c>
      <c r="W9" s="2">
        <f t="shared" si="12"/>
        <v>79</v>
      </c>
      <c r="X9" s="2" t="str">
        <f t="shared" si="13"/>
        <v>槽位6</v>
      </c>
      <c r="Y9" s="2" t="str">
        <f t="shared" si="20"/>
        <v>Equip1008</v>
      </c>
    </row>
    <row r="10" spans="1:25" x14ac:dyDescent="0.2">
      <c r="A10" s="2">
        <v>7</v>
      </c>
      <c r="B10" s="2">
        <v>9</v>
      </c>
      <c r="C10" s="2" t="s">
        <v>66</v>
      </c>
      <c r="D10" s="2" t="s">
        <v>52</v>
      </c>
      <c r="E10" s="2">
        <f t="shared" si="0"/>
        <v>19</v>
      </c>
      <c r="F10" s="2" t="str">
        <f t="shared" si="1"/>
        <v>槽位7</v>
      </c>
      <c r="G10" s="2" t="str">
        <f t="shared" si="14"/>
        <v>Equip1002</v>
      </c>
      <c r="H10" s="2">
        <f t="shared" si="2"/>
        <v>29</v>
      </c>
      <c r="I10" s="2" t="str">
        <f t="shared" si="3"/>
        <v>槽位7</v>
      </c>
      <c r="J10" s="2" t="str">
        <f t="shared" si="15"/>
        <v>Equip1003</v>
      </c>
      <c r="K10" s="2">
        <f t="shared" si="4"/>
        <v>39</v>
      </c>
      <c r="L10" s="2" t="str">
        <f t="shared" si="5"/>
        <v>槽位7</v>
      </c>
      <c r="M10" s="2" t="str">
        <f t="shared" si="16"/>
        <v>Equip1004</v>
      </c>
      <c r="N10" s="2">
        <f t="shared" si="6"/>
        <v>49</v>
      </c>
      <c r="O10" s="2" t="str">
        <f t="shared" si="7"/>
        <v>槽位7</v>
      </c>
      <c r="P10" s="2" t="str">
        <f t="shared" si="17"/>
        <v>Equip1005</v>
      </c>
      <c r="Q10" s="2">
        <f t="shared" si="8"/>
        <v>59</v>
      </c>
      <c r="R10" s="2" t="str">
        <f t="shared" si="9"/>
        <v>槽位7</v>
      </c>
      <c r="S10" s="2" t="str">
        <f t="shared" si="18"/>
        <v>Equip1006</v>
      </c>
      <c r="T10" s="2">
        <f t="shared" si="10"/>
        <v>69</v>
      </c>
      <c r="U10" s="2" t="str">
        <f t="shared" si="11"/>
        <v>槽位7</v>
      </c>
      <c r="V10" s="2" t="str">
        <f t="shared" si="19"/>
        <v>Equip1007</v>
      </c>
      <c r="W10" s="2">
        <f t="shared" si="12"/>
        <v>79</v>
      </c>
      <c r="X10" s="2" t="str">
        <f t="shared" si="13"/>
        <v>槽位7</v>
      </c>
      <c r="Y10" s="2" t="str">
        <f t="shared" si="20"/>
        <v>Equip1008</v>
      </c>
    </row>
    <row r="11" spans="1:25" x14ac:dyDescent="0.2">
      <c r="A11" s="2">
        <v>8</v>
      </c>
      <c r="B11" s="2">
        <v>9</v>
      </c>
      <c r="C11" s="2" t="s">
        <v>67</v>
      </c>
      <c r="D11" s="2" t="s">
        <v>52</v>
      </c>
      <c r="E11" s="2">
        <f t="shared" si="0"/>
        <v>19</v>
      </c>
      <c r="F11" s="2" t="str">
        <f t="shared" si="1"/>
        <v>槽位8</v>
      </c>
      <c r="G11" s="2" t="str">
        <f t="shared" si="14"/>
        <v>Equip1002</v>
      </c>
      <c r="H11" s="2">
        <f t="shared" si="2"/>
        <v>29</v>
      </c>
      <c r="I11" s="2" t="str">
        <f t="shared" si="3"/>
        <v>槽位8</v>
      </c>
      <c r="J11" s="2" t="str">
        <f t="shared" si="15"/>
        <v>Equip1003</v>
      </c>
      <c r="K11" s="2">
        <f t="shared" si="4"/>
        <v>39</v>
      </c>
      <c r="L11" s="2" t="str">
        <f t="shared" si="5"/>
        <v>槽位8</v>
      </c>
      <c r="M11" s="2" t="str">
        <f t="shared" si="16"/>
        <v>Equip1004</v>
      </c>
      <c r="N11" s="2">
        <f t="shared" si="6"/>
        <v>49</v>
      </c>
      <c r="O11" s="2" t="str">
        <f t="shared" si="7"/>
        <v>槽位8</v>
      </c>
      <c r="P11" s="2" t="str">
        <f t="shared" si="17"/>
        <v>Equip1005</v>
      </c>
      <c r="Q11" s="2">
        <f t="shared" si="8"/>
        <v>59</v>
      </c>
      <c r="R11" s="2" t="str">
        <f t="shared" si="9"/>
        <v>槽位8</v>
      </c>
      <c r="S11" s="2" t="str">
        <f t="shared" si="18"/>
        <v>Equip1006</v>
      </c>
      <c r="T11" s="2">
        <f t="shared" si="10"/>
        <v>69</v>
      </c>
      <c r="U11" s="2" t="str">
        <f t="shared" si="11"/>
        <v>槽位8</v>
      </c>
      <c r="V11" s="2" t="str">
        <f t="shared" si="19"/>
        <v>Equip1007</v>
      </c>
      <c r="W11" s="2">
        <f t="shared" si="12"/>
        <v>79</v>
      </c>
      <c r="X11" s="2" t="str">
        <f t="shared" si="13"/>
        <v>槽位8</v>
      </c>
      <c r="Y11" s="2" t="str">
        <f t="shared" si="20"/>
        <v>Equip1008</v>
      </c>
    </row>
    <row r="12" spans="1:25" x14ac:dyDescent="0.2">
      <c r="A12" s="2">
        <v>9</v>
      </c>
      <c r="B12" s="2">
        <v>9</v>
      </c>
      <c r="C12" s="2" t="s">
        <v>68</v>
      </c>
      <c r="D12" s="2" t="s">
        <v>52</v>
      </c>
      <c r="E12" s="2">
        <f t="shared" si="0"/>
        <v>19</v>
      </c>
      <c r="F12" s="2" t="str">
        <f t="shared" si="1"/>
        <v>槽位9</v>
      </c>
      <c r="G12" s="2" t="str">
        <f t="shared" si="14"/>
        <v>Equip1002</v>
      </c>
      <c r="H12" s="2">
        <f t="shared" si="2"/>
        <v>29</v>
      </c>
      <c r="I12" s="2" t="str">
        <f t="shared" si="3"/>
        <v>槽位9</v>
      </c>
      <c r="J12" s="2" t="str">
        <f t="shared" si="15"/>
        <v>Equip1003</v>
      </c>
      <c r="K12" s="2">
        <f t="shared" si="4"/>
        <v>39</v>
      </c>
      <c r="L12" s="2" t="str">
        <f t="shared" si="5"/>
        <v>槽位9</v>
      </c>
      <c r="M12" s="2" t="str">
        <f t="shared" si="16"/>
        <v>Equip1004</v>
      </c>
      <c r="N12" s="2">
        <f t="shared" si="6"/>
        <v>49</v>
      </c>
      <c r="O12" s="2" t="str">
        <f t="shared" si="7"/>
        <v>槽位9</v>
      </c>
      <c r="P12" s="2" t="str">
        <f t="shared" si="17"/>
        <v>Equip1005</v>
      </c>
      <c r="Q12" s="2">
        <f t="shared" si="8"/>
        <v>59</v>
      </c>
      <c r="R12" s="2" t="str">
        <f t="shared" si="9"/>
        <v>槽位9</v>
      </c>
      <c r="S12" s="2" t="str">
        <f t="shared" si="18"/>
        <v>Equip1006</v>
      </c>
      <c r="T12" s="2">
        <f t="shared" si="10"/>
        <v>69</v>
      </c>
      <c r="U12" s="2" t="str">
        <f t="shared" si="11"/>
        <v>槽位9</v>
      </c>
      <c r="V12" s="2" t="str">
        <f t="shared" si="19"/>
        <v>Equip1007</v>
      </c>
      <c r="W12" s="2">
        <f t="shared" si="12"/>
        <v>79</v>
      </c>
      <c r="X12" s="2" t="str">
        <f t="shared" si="13"/>
        <v>槽位9</v>
      </c>
      <c r="Y12" s="2" t="str">
        <f t="shared" si="20"/>
        <v>Equip1008</v>
      </c>
    </row>
    <row r="13" spans="1:25" x14ac:dyDescent="0.2">
      <c r="A13" s="2">
        <v>10</v>
      </c>
      <c r="B13" s="2">
        <v>9</v>
      </c>
      <c r="C13" s="2" t="s">
        <v>69</v>
      </c>
      <c r="D13" s="2" t="s">
        <v>52</v>
      </c>
      <c r="E13" s="2">
        <f t="shared" si="0"/>
        <v>19</v>
      </c>
      <c r="F13" s="2" t="str">
        <f t="shared" si="1"/>
        <v>槽位10</v>
      </c>
      <c r="G13" s="2" t="str">
        <f t="shared" si="14"/>
        <v>Equip1002</v>
      </c>
      <c r="H13" s="2">
        <f t="shared" si="2"/>
        <v>29</v>
      </c>
      <c r="I13" s="2" t="str">
        <f t="shared" si="3"/>
        <v>槽位10</v>
      </c>
      <c r="J13" s="2" t="str">
        <f t="shared" si="15"/>
        <v>Equip1003</v>
      </c>
      <c r="K13" s="2">
        <f t="shared" si="4"/>
        <v>39</v>
      </c>
      <c r="L13" s="2" t="str">
        <f t="shared" si="5"/>
        <v>槽位10</v>
      </c>
      <c r="M13" s="2" t="str">
        <f t="shared" si="16"/>
        <v>Equip1004</v>
      </c>
      <c r="N13" s="2">
        <f t="shared" si="6"/>
        <v>49</v>
      </c>
      <c r="O13" s="2" t="str">
        <f t="shared" si="7"/>
        <v>槽位10</v>
      </c>
      <c r="P13" s="2" t="str">
        <f t="shared" si="17"/>
        <v>Equip1005</v>
      </c>
      <c r="Q13" s="2">
        <f t="shared" si="8"/>
        <v>59</v>
      </c>
      <c r="R13" s="2" t="str">
        <f t="shared" si="9"/>
        <v>槽位10</v>
      </c>
      <c r="S13" s="2" t="str">
        <f t="shared" si="18"/>
        <v>Equip1006</v>
      </c>
      <c r="T13" s="2">
        <f t="shared" si="10"/>
        <v>69</v>
      </c>
      <c r="U13" s="2" t="str">
        <f t="shared" si="11"/>
        <v>槽位10</v>
      </c>
      <c r="V13" s="2" t="str">
        <f t="shared" si="19"/>
        <v>Equip1007</v>
      </c>
      <c r="W13" s="2">
        <f t="shared" si="12"/>
        <v>79</v>
      </c>
      <c r="X13" s="2" t="str">
        <f t="shared" si="13"/>
        <v>槽位10</v>
      </c>
      <c r="Y13" s="2" t="str">
        <f t="shared" si="20"/>
        <v>Equip1008</v>
      </c>
    </row>
    <row r="14" spans="1:25" x14ac:dyDescent="0.2">
      <c r="A14" s="2">
        <v>11</v>
      </c>
      <c r="B14" s="2">
        <v>9</v>
      </c>
      <c r="C14" s="2" t="s">
        <v>70</v>
      </c>
      <c r="D14" s="2" t="s">
        <v>52</v>
      </c>
      <c r="E14" s="2">
        <f t="shared" si="0"/>
        <v>19</v>
      </c>
      <c r="F14" s="2" t="str">
        <f t="shared" si="1"/>
        <v>槽位11</v>
      </c>
      <c r="G14" s="2" t="str">
        <f t="shared" si="14"/>
        <v>Equip1002</v>
      </c>
      <c r="H14" s="2">
        <f t="shared" si="2"/>
        <v>29</v>
      </c>
      <c r="I14" s="2" t="str">
        <f t="shared" si="3"/>
        <v>槽位11</v>
      </c>
      <c r="J14" s="2" t="str">
        <f t="shared" si="15"/>
        <v>Equip1003</v>
      </c>
      <c r="K14" s="2">
        <f t="shared" si="4"/>
        <v>39</v>
      </c>
      <c r="L14" s="2" t="str">
        <f t="shared" si="5"/>
        <v>槽位11</v>
      </c>
      <c r="M14" s="2" t="str">
        <f t="shared" si="16"/>
        <v>Equip1004</v>
      </c>
      <c r="N14" s="2">
        <f t="shared" si="6"/>
        <v>49</v>
      </c>
      <c r="O14" s="2" t="str">
        <f t="shared" si="7"/>
        <v>槽位11</v>
      </c>
      <c r="P14" s="2" t="str">
        <f t="shared" si="17"/>
        <v>Equip1005</v>
      </c>
      <c r="Q14" s="2">
        <f t="shared" si="8"/>
        <v>59</v>
      </c>
      <c r="R14" s="2" t="str">
        <f t="shared" si="9"/>
        <v>槽位11</v>
      </c>
      <c r="S14" s="2" t="str">
        <f t="shared" si="18"/>
        <v>Equip1006</v>
      </c>
      <c r="T14" s="2">
        <f t="shared" si="10"/>
        <v>69</v>
      </c>
      <c r="U14" s="2" t="str">
        <f t="shared" si="11"/>
        <v>槽位11</v>
      </c>
      <c r="V14" s="2" t="str">
        <f t="shared" si="19"/>
        <v>Equip1007</v>
      </c>
      <c r="W14" s="2">
        <f t="shared" si="12"/>
        <v>79</v>
      </c>
      <c r="X14" s="2" t="str">
        <f t="shared" si="13"/>
        <v>槽位11</v>
      </c>
      <c r="Y14" s="2" t="str">
        <f t="shared" si="20"/>
        <v>Equip1008</v>
      </c>
    </row>
    <row r="15" spans="1:25" x14ac:dyDescent="0.2">
      <c r="A15" s="2">
        <v>12</v>
      </c>
      <c r="B15" s="2">
        <v>9</v>
      </c>
      <c r="C15" s="2" t="s">
        <v>71</v>
      </c>
      <c r="D15" s="2" t="s">
        <v>52</v>
      </c>
      <c r="E15" s="2">
        <f t="shared" si="0"/>
        <v>19</v>
      </c>
      <c r="F15" s="2" t="str">
        <f t="shared" si="1"/>
        <v>槽位12</v>
      </c>
      <c r="G15" s="2" t="str">
        <f t="shared" si="14"/>
        <v>Equip1002</v>
      </c>
      <c r="H15" s="2">
        <f t="shared" si="2"/>
        <v>29</v>
      </c>
      <c r="I15" s="2" t="str">
        <f t="shared" si="3"/>
        <v>槽位12</v>
      </c>
      <c r="J15" s="2" t="str">
        <f t="shared" si="15"/>
        <v>Equip1003</v>
      </c>
      <c r="K15" s="2">
        <f t="shared" si="4"/>
        <v>39</v>
      </c>
      <c r="L15" s="2" t="str">
        <f t="shared" si="5"/>
        <v>槽位12</v>
      </c>
      <c r="M15" s="2" t="str">
        <f t="shared" si="16"/>
        <v>Equip1004</v>
      </c>
      <c r="N15" s="2">
        <f t="shared" si="6"/>
        <v>49</v>
      </c>
      <c r="O15" s="2" t="str">
        <f t="shared" si="7"/>
        <v>槽位12</v>
      </c>
      <c r="P15" s="2" t="str">
        <f t="shared" si="17"/>
        <v>Equip1005</v>
      </c>
      <c r="Q15" s="2">
        <f t="shared" si="8"/>
        <v>59</v>
      </c>
      <c r="R15" s="2" t="str">
        <f t="shared" si="9"/>
        <v>槽位12</v>
      </c>
      <c r="S15" s="2" t="str">
        <f t="shared" si="18"/>
        <v>Equip1006</v>
      </c>
      <c r="T15" s="2">
        <f t="shared" si="10"/>
        <v>69</v>
      </c>
      <c r="U15" s="2" t="str">
        <f t="shared" si="11"/>
        <v>槽位12</v>
      </c>
      <c r="V15" s="2" t="str">
        <f t="shared" si="19"/>
        <v>Equip1007</v>
      </c>
      <c r="W15" s="2">
        <f t="shared" si="12"/>
        <v>79</v>
      </c>
      <c r="X15" s="2" t="str">
        <f t="shared" si="13"/>
        <v>槽位12</v>
      </c>
      <c r="Y15" s="2" t="str">
        <f t="shared" si="20"/>
        <v>Equip1008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2026-04-28T02:38:59Z</dcterms:modified>
</cp:coreProperties>
</file>